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822-2403019\"/>
    </mc:Choice>
  </mc:AlternateContent>
  <xr:revisionPtr revIDLastSave="0" documentId="13_ncr:1_{25B99C03-12AA-4E4F-B2F1-5BBE39A533F3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TIME STUDY" sheetId="1" r:id="rId1"/>
    <sheet name="Оснастка" sheetId="2" r:id="rId2"/>
  </sheets>
  <definedNames>
    <definedName name="_xlnm.Print_Area" localSheetId="0">'TIME STUDY'!$A$1:$X$43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5" i="1" l="1"/>
  <c r="P25" i="1" s="1"/>
  <c r="T25" i="1" s="1"/>
  <c r="M25" i="1"/>
  <c r="Q25" i="1" s="1"/>
  <c r="J25" i="1"/>
  <c r="I25" i="1"/>
  <c r="N20" i="1"/>
  <c r="P20" i="1" s="1"/>
  <c r="T20" i="1" s="1"/>
  <c r="M20" i="1"/>
  <c r="Q20" i="1" s="1"/>
  <c r="J20" i="1"/>
  <c r="I20" i="1"/>
  <c r="S20" i="1" s="1"/>
  <c r="S25" i="1" l="1"/>
  <c r="H25" i="1"/>
  <c r="W25" i="1"/>
  <c r="X25" i="1" s="1"/>
  <c r="H20" i="1"/>
  <c r="W20" i="1"/>
  <c r="X20" i="1" s="1"/>
  <c r="Y5" i="1"/>
  <c r="Y29" i="1" l="1"/>
  <c r="X29" i="1" l="1"/>
  <c r="U42" i="1"/>
  <c r="U39" i="1" l="1"/>
  <c r="U43" i="1" l="1"/>
  <c r="U40" i="1" l="1"/>
  <c r="S13" i="1" l="1"/>
  <c r="S15" i="1" s="1"/>
</calcChain>
</file>

<file path=xl/sharedStrings.xml><?xml version="1.0" encoding="utf-8"?>
<sst xmlns="http://schemas.openxmlformats.org/spreadsheetml/2006/main" count="82" uniqueCount="73">
  <si>
    <t xml:space="preserve">max </t>
  </si>
  <si>
    <t>min</t>
  </si>
  <si>
    <t>Number of tool</t>
  </si>
  <si>
    <t>Заказчик:</t>
  </si>
  <si>
    <t>Модель оборудования:</t>
  </si>
  <si>
    <t>Система ЧПУ:</t>
  </si>
  <si>
    <t>Номер проекта:</t>
  </si>
  <si>
    <t>Номер детали:</t>
  </si>
  <si>
    <t>Наменование детали:</t>
  </si>
  <si>
    <t>Материал:</t>
  </si>
  <si>
    <t>Твердость:</t>
  </si>
  <si>
    <t>Заготовка:</t>
  </si>
  <si>
    <t>№ инстр.</t>
  </si>
  <si>
    <t>Наименование перехода</t>
  </si>
  <si>
    <t>Диаметр 
инструмента (обработки)
D, мм</t>
  </si>
  <si>
    <t>Скорость 
резания
V,  м/мин</t>
  </si>
  <si>
    <t>Частота 
вращения,
  n,  мин-1</t>
  </si>
  <si>
    <t>Припуск
на 
обработ.
а, мм</t>
  </si>
  <si>
    <t>Кол-во
проход</t>
  </si>
  <si>
    <t>Общая 
длина рабоч.
хода
L, мм</t>
  </si>
  <si>
    <t xml:space="preserve">Подача
Sо, мм/об </t>
  </si>
  <si>
    <t>Подача
минутная Sм, мм/мин</t>
  </si>
  <si>
    <t>Время
смены
инстр., сек</t>
  </si>
  <si>
    <t>Время
ускорен.
перем.,
сек</t>
  </si>
  <si>
    <t>Время 
резан., сек</t>
  </si>
  <si>
    <t>Общее
время,
сек</t>
  </si>
  <si>
    <t>ИТОГО:</t>
  </si>
  <si>
    <t>Предварительный технологический процесс</t>
  </si>
  <si>
    <t>Наименование
инструмента</t>
  </si>
  <si>
    <t>Коэффициент использования оборудования, Ки:</t>
  </si>
  <si>
    <t>Длина резания
Lрез, мм</t>
  </si>
  <si>
    <t>Длина 
рабоч.
хода
Lр.х, мм</t>
  </si>
  <si>
    <t>Длина врез.+ переб. Lвсп, мм</t>
  </si>
  <si>
    <t>Глубина резания
t, мм</t>
  </si>
  <si>
    <t>Примечания:</t>
  </si>
  <si>
    <t>Время цикла, мин ± 15%:</t>
  </si>
  <si>
    <t>Производительность, дет./чаc ± 15%:</t>
  </si>
  <si>
    <t xml:space="preserve"> и могут изменяться (оптимизироваться) при отладке технологии изготовления детали на данном станке.</t>
  </si>
  <si>
    <t>2) Для точного определения времени цикла необходимо провести тестовую обработку детали («Cutting Test»).</t>
  </si>
  <si>
    <t>сек ± 15 %</t>
  </si>
  <si>
    <t>мин ± 15%</t>
  </si>
  <si>
    <t xml:space="preserve">Обозначение
вспомогательного инструмента и режущего инструмента </t>
  </si>
  <si>
    <t xml:space="preserve">Державка  </t>
  </si>
  <si>
    <t xml:space="preserve">Державка расточная          </t>
  </si>
  <si>
    <t>№ п/п</t>
  </si>
  <si>
    <t>Наименование</t>
  </si>
  <si>
    <t>Применяется</t>
  </si>
  <si>
    <t>STD</t>
  </si>
  <si>
    <t>Докупить</t>
  </si>
  <si>
    <t>Кулачки каленные</t>
  </si>
  <si>
    <t>ID державка, тип H40-U-M (U-drill)</t>
  </si>
  <si>
    <t xml:space="preserve">ID державка, тип H40-M </t>
  </si>
  <si>
    <t>Втулка переходная Ø40-32</t>
  </si>
  <si>
    <t>Тип 32-H40-M</t>
  </si>
  <si>
    <t>OD державка, тип А</t>
  </si>
  <si>
    <t>Тип В</t>
  </si>
  <si>
    <t>Кулачки сырые удлиненные</t>
  </si>
  <si>
    <t>Макс. скорость вращения главн. шпинделя, мин-1</t>
  </si>
  <si>
    <t>Макс. скорость вращения приводн. инстр., мин-1</t>
  </si>
  <si>
    <t>Открепить и снять деталь.</t>
  </si>
  <si>
    <t>Суммарное расчетное время цикла обработки одной детали:</t>
  </si>
  <si>
    <t>Суммарное расчетное время резания обработки одной детали:</t>
  </si>
  <si>
    <t>Операция - 010</t>
  </si>
  <si>
    <t>Операция - 020</t>
  </si>
  <si>
    <t>Мощ-ть
Р, кВт</t>
  </si>
  <si>
    <t>чертеж детали</t>
  </si>
  <si>
    <r>
      <t xml:space="preserve">3) Базирование:  
</t>
    </r>
    <r>
      <rPr>
        <b/>
        <sz val="14"/>
        <color rgb="FF00B050"/>
        <rFont val="Arial"/>
        <family val="2"/>
        <charset val="204"/>
      </rPr>
      <t xml:space="preserve">  описание базирования</t>
    </r>
  </si>
  <si>
    <t>Переустановить заготовку …</t>
  </si>
  <si>
    <t>Установить заготовку …</t>
  </si>
  <si>
    <t xml:space="preserve"> -----</t>
  </si>
  <si>
    <t xml:space="preserve">Пример заполнения, цветные столбцы с формулами, вписывать значения в столбцы без цвета </t>
  </si>
  <si>
    <t>вертикально-токарный ОЦ для черновой обработки с приводным инструментом</t>
  </si>
  <si>
    <r>
      <t xml:space="preserve">1) Вспомогательный и режущий инструмент, режимы резания и время обработки являются </t>
    </r>
    <r>
      <rPr>
        <b/>
        <sz val="14"/>
        <rFont val="Arial"/>
        <family val="2"/>
        <charset val="204"/>
      </rPr>
      <t>предварительными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</si>
</sst>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"/>
    <numFmt numFmtId="165" formatCode="General_)"/>
    <numFmt numFmtId="166" formatCode="0.000"/>
  </numFmts>
  <fonts count="23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name val="Arial"/>
      <family val="2"/>
      <charset val="204"/>
    </font>
    <font>
      <b/>
      <sz val="12"/>
      <name val="Arial"/>
      <family val="2"/>
    </font>
    <font>
      <b/>
      <sz val="14"/>
      <color theme="1"/>
      <name val="Times"/>
      <family val="1"/>
    </font>
    <font>
      <b/>
      <sz val="14"/>
      <name val="Arial"/>
      <family val="2"/>
    </font>
    <font>
      <b/>
      <sz val="14"/>
      <name val="Arial"/>
      <family val="2"/>
      <charset val="204"/>
    </font>
    <font>
      <sz val="10"/>
      <name val="Courier"/>
      <family val="3"/>
      <charset val="177"/>
    </font>
    <font>
      <sz val="14"/>
      <color theme="1"/>
      <name val="Calibri"/>
      <family val="2"/>
      <charset val="204"/>
      <scheme val="minor"/>
    </font>
    <font>
      <b/>
      <i/>
      <sz val="14"/>
      <name val="Arial"/>
      <family val="2"/>
    </font>
    <font>
      <b/>
      <sz val="14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5"/>
      <name val="Arial"/>
      <family val="2"/>
    </font>
    <font>
      <b/>
      <sz val="13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name val="Arial"/>
      <family val="2"/>
      <charset val="204"/>
    </font>
    <font>
      <sz val="12"/>
      <color theme="3" tint="0.39997558519241921"/>
      <name val="Arial"/>
      <family val="2"/>
      <charset val="204"/>
    </font>
    <font>
      <b/>
      <sz val="14"/>
      <color rgb="FF00B050"/>
      <name val="Arial"/>
      <family val="2"/>
      <charset val="204"/>
    </font>
    <font>
      <b/>
      <sz val="12"/>
      <color rgb="FF00B050"/>
      <name val="Arial"/>
      <family val="2"/>
      <charset val="204"/>
    </font>
    <font>
      <sz val="12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41" fontId="1" fillId="0" borderId="0" applyFont="0" applyFill="0" applyBorder="0" applyAlignment="0" applyProtection="0"/>
    <xf numFmtId="165" fontId="9" fillId="0" borderId="0"/>
    <xf numFmtId="0" fontId="17" fillId="0" borderId="0" applyNumberFormat="0" applyFill="0" applyBorder="0" applyAlignment="0" applyProtection="0"/>
  </cellStyleXfs>
  <cellXfs count="158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41" fontId="11" fillId="0" borderId="0" xfId="2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2" fillId="0" borderId="4" xfId="0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34" xfId="0" applyBorder="1" applyAlignment="1">
      <alignment horizontal="center"/>
    </xf>
    <xf numFmtId="0" fontId="0" fillId="0" borderId="34" xfId="0" applyBorder="1" applyAlignment="1">
      <alignment horizontal="center" vertical="top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12" fillId="0" borderId="0" xfId="0" applyFont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13" xfId="0" applyFont="1" applyBorder="1" applyAlignment="1">
      <alignment horizontal="left"/>
    </xf>
    <xf numFmtId="164" fontId="10" fillId="0" borderId="13" xfId="0" applyNumberFormat="1" applyFont="1" applyBorder="1" applyAlignment="1">
      <alignment horizontal="left"/>
    </xf>
    <xf numFmtId="0" fontId="10" fillId="0" borderId="13" xfId="0" applyFont="1" applyBorder="1" applyAlignment="1">
      <alignment horizontal="left" vertical="center"/>
    </xf>
    <xf numFmtId="166" fontId="10" fillId="0" borderId="13" xfId="0" applyNumberFormat="1" applyFont="1" applyBorder="1" applyAlignment="1">
      <alignment horizontal="left" vertical="center"/>
    </xf>
    <xf numFmtId="0" fontId="7" fillId="0" borderId="13" xfId="1" applyFont="1" applyBorder="1" applyAlignment="1">
      <alignment horizontal="left" vertical="center"/>
    </xf>
    <xf numFmtId="41" fontId="11" fillId="0" borderId="13" xfId="2" applyFont="1" applyFill="1" applyBorder="1" applyAlignment="1">
      <alignment horizontal="left" vertical="center"/>
    </xf>
    <xf numFmtId="2" fontId="8" fillId="3" borderId="13" xfId="1" applyNumberFormat="1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left" vertical="center"/>
    </xf>
    <xf numFmtId="41" fontId="11" fillId="0" borderId="14" xfId="2" applyFont="1" applyFill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164" fontId="16" fillId="0" borderId="0" xfId="0" applyNumberFormat="1" applyFont="1" applyAlignment="1">
      <alignment horizontal="left" vertical="center"/>
    </xf>
    <xf numFmtId="0" fontId="0" fillId="0" borderId="12" xfId="0" applyBorder="1"/>
    <xf numFmtId="0" fontId="0" fillId="0" borderId="13" xfId="0" applyBorder="1"/>
    <xf numFmtId="164" fontId="0" fillId="0" borderId="13" xfId="0" applyNumberFormat="1" applyBorder="1"/>
    <xf numFmtId="0" fontId="0" fillId="0" borderId="30" xfId="0" applyBorder="1"/>
    <xf numFmtId="0" fontId="17" fillId="0" borderId="0" xfId="4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5" borderId="5" xfId="0" applyNumberFormat="1" applyFont="1" applyFill="1" applyBorder="1" applyAlignment="1">
      <alignment horizontal="center" vertical="center"/>
    </xf>
    <xf numFmtId="1" fontId="2" fillId="5" borderId="3" xfId="0" applyNumberFormat="1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164" fontId="2" fillId="5" borderId="25" xfId="0" applyNumberFormat="1" applyFont="1" applyFill="1" applyBorder="1" applyAlignment="1">
      <alignment horizontal="center" vertical="center"/>
    </xf>
    <xf numFmtId="164" fontId="2" fillId="5" borderId="19" xfId="0" applyNumberFormat="1" applyFont="1" applyFill="1" applyBorder="1" applyAlignment="1">
      <alignment horizontal="center" vertical="center"/>
    </xf>
    <xf numFmtId="0" fontId="2" fillId="6" borderId="24" xfId="1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/>
    </xf>
    <xf numFmtId="164" fontId="2" fillId="6" borderId="29" xfId="0" applyNumberFormat="1" applyFont="1" applyFill="1" applyBorder="1" applyAlignment="1">
      <alignment horizontal="center" vertical="center"/>
    </xf>
    <xf numFmtId="164" fontId="2" fillId="6" borderId="29" xfId="0" applyNumberFormat="1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 wrapText="1"/>
    </xf>
    <xf numFmtId="164" fontId="2" fillId="6" borderId="35" xfId="0" applyNumberFormat="1" applyFont="1" applyFill="1" applyBorder="1" applyAlignment="1">
      <alignment horizontal="center" vertical="center" wrapText="1"/>
    </xf>
    <xf numFmtId="0" fontId="8" fillId="4" borderId="28" xfId="1" applyFont="1" applyFill="1" applyBorder="1" applyAlignment="1">
      <alignment horizontal="left" vertical="center"/>
    </xf>
    <xf numFmtId="0" fontId="7" fillId="6" borderId="7" xfId="1" applyFont="1" applyFill="1" applyBorder="1" applyAlignment="1">
      <alignment horizontal="left" vertical="center"/>
    </xf>
    <xf numFmtId="164" fontId="7" fillId="6" borderId="8" xfId="1" applyNumberFormat="1" applyFont="1" applyFill="1" applyBorder="1" applyAlignment="1">
      <alignment horizontal="left" vertical="center"/>
    </xf>
    <xf numFmtId="0" fontId="7" fillId="6" borderId="8" xfId="1" applyFont="1" applyFill="1" applyBorder="1" applyAlignment="1">
      <alignment horizontal="left" vertical="center"/>
    </xf>
    <xf numFmtId="0" fontId="7" fillId="6" borderId="26" xfId="1" applyFont="1" applyFill="1" applyBorder="1" applyAlignment="1">
      <alignment horizontal="left" vertical="center"/>
    </xf>
    <xf numFmtId="0" fontId="8" fillId="6" borderId="15" xfId="1" applyFont="1" applyFill="1" applyBorder="1" applyAlignment="1">
      <alignment horizontal="left" vertical="center"/>
    </xf>
    <xf numFmtId="0" fontId="19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14" fillId="0" borderId="0" xfId="1" applyFont="1" applyAlignment="1">
      <alignment vertical="center" wrapText="1"/>
    </xf>
    <xf numFmtId="0" fontId="5" fillId="0" borderId="0" xfId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166" fontId="10" fillId="0" borderId="0" xfId="0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2" fillId="6" borderId="36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164" fontId="6" fillId="4" borderId="38" xfId="0" applyNumberFormat="1" applyFont="1" applyFill="1" applyBorder="1" applyAlignment="1">
      <alignment horizontal="center" vertical="center"/>
    </xf>
    <xf numFmtId="0" fontId="4" fillId="6" borderId="6" xfId="1" applyFont="1" applyFill="1" applyBorder="1" applyAlignment="1">
      <alignment horizontal="left" vertical="center"/>
    </xf>
    <xf numFmtId="0" fontId="2" fillId="6" borderId="0" xfId="0" applyFont="1" applyFill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/>
    </xf>
    <xf numFmtId="164" fontId="2" fillId="6" borderId="39" xfId="0" applyNumberFormat="1" applyFont="1" applyFill="1" applyBorder="1" applyAlignment="1">
      <alignment horizontal="center" vertical="center"/>
    </xf>
    <xf numFmtId="164" fontId="2" fillId="6" borderId="39" xfId="0" applyNumberFormat="1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164" fontId="2" fillId="6" borderId="40" xfId="0" applyNumberFormat="1" applyFont="1" applyFill="1" applyBorder="1" applyAlignment="1">
      <alignment horizontal="center" vertical="center" wrapText="1"/>
    </xf>
    <xf numFmtId="164" fontId="2" fillId="6" borderId="22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/>
    </xf>
    <xf numFmtId="164" fontId="2" fillId="6" borderId="13" xfId="0" applyNumberFormat="1" applyFont="1" applyFill="1" applyBorder="1" applyAlignment="1">
      <alignment horizontal="center" vertical="center"/>
    </xf>
    <xf numFmtId="164" fontId="2" fillId="6" borderId="13" xfId="0" applyNumberFormat="1" applyFont="1" applyFill="1" applyBorder="1" applyAlignment="1">
      <alignment horizontal="center" vertical="center" wrapText="1"/>
    </xf>
    <xf numFmtId="164" fontId="2" fillId="6" borderId="37" xfId="0" applyNumberFormat="1" applyFont="1" applyFill="1" applyBorder="1" applyAlignment="1">
      <alignment horizontal="center" vertical="center" wrapText="1"/>
    </xf>
    <xf numFmtId="164" fontId="2" fillId="6" borderId="21" xfId="0" applyNumberFormat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1" fontId="22" fillId="0" borderId="3" xfId="0" applyNumberFormat="1" applyFont="1" applyBorder="1" applyAlignment="1">
      <alignment horizontal="center" vertical="center"/>
    </xf>
    <xf numFmtId="164" fontId="22" fillId="0" borderId="3" xfId="0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66" fontId="22" fillId="0" borderId="3" xfId="0" applyNumberFormat="1" applyFont="1" applyBorder="1" applyAlignment="1">
      <alignment horizontal="center" vertical="center"/>
    </xf>
    <xf numFmtId="164" fontId="2" fillId="0" borderId="33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top" wrapText="1"/>
    </xf>
    <xf numFmtId="0" fontId="2" fillId="0" borderId="20" xfId="1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164" fontId="2" fillId="0" borderId="10" xfId="0" applyNumberFormat="1" applyFont="1" applyBorder="1" applyAlignment="1">
      <alignment horizontal="center" vertical="top" wrapText="1"/>
    </xf>
    <xf numFmtId="164" fontId="2" fillId="0" borderId="11" xfId="0" applyNumberFormat="1" applyFont="1" applyBorder="1" applyAlignment="1">
      <alignment horizontal="center" vertical="top" wrapText="1"/>
    </xf>
    <xf numFmtId="0" fontId="2" fillId="0" borderId="32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0" fontId="2" fillId="0" borderId="33" xfId="0" applyFont="1" applyBorder="1" applyAlignment="1">
      <alignment horizontal="left" vertical="center"/>
    </xf>
    <xf numFmtId="2" fontId="8" fillId="4" borderId="27" xfId="1" applyNumberFormat="1" applyFont="1" applyFill="1" applyBorder="1" applyAlignment="1">
      <alignment horizontal="center" vertical="center"/>
    </xf>
    <xf numFmtId="2" fontId="8" fillId="4" borderId="28" xfId="1" applyNumberFormat="1" applyFont="1" applyFill="1" applyBorder="1" applyAlignment="1">
      <alignment horizontal="center" vertical="center"/>
    </xf>
    <xf numFmtId="0" fontId="8" fillId="4" borderId="28" xfId="1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2" fontId="2" fillId="0" borderId="32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164" fontId="8" fillId="6" borderId="10" xfId="1" applyNumberFormat="1" applyFont="1" applyFill="1" applyBorder="1" applyAlignment="1">
      <alignment horizontal="center" vertical="center"/>
    </xf>
    <xf numFmtId="164" fontId="8" fillId="6" borderId="15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4" fillId="4" borderId="7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8" fillId="6" borderId="15" xfId="1" applyFont="1" applyFill="1" applyBorder="1" applyAlignment="1">
      <alignment horizontal="left" vertical="center"/>
    </xf>
    <xf numFmtId="0" fontId="4" fillId="4" borderId="12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</cellXfs>
  <cellStyles count="5">
    <cellStyle name="Comma [0]_גיליון1" xfId="2" xr:uid="{00000000-0005-0000-0000-000000000000}"/>
    <cellStyle name="Normal_ZD4-2.XLS" xfId="3" xr:uid="{00000000-0005-0000-0000-000001000000}"/>
    <cellStyle name="Normal_גיליון1" xfId="1" xr:uid="{00000000-0005-0000-0000-000002000000}"/>
    <cellStyle name="Гиперссылка" xfId="4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1"/>
  <sheetViews>
    <sheetView tabSelected="1" view="pageBreakPreview" topLeftCell="A8" zoomScale="55" zoomScaleNormal="100" zoomScaleSheetLayoutView="55" workbookViewId="0">
      <selection activeCell="G31" sqref="G31"/>
    </sheetView>
  </sheetViews>
  <sheetFormatPr defaultRowHeight="14.25"/>
  <cols>
    <col min="1" max="1" width="8.59765625" customWidth="1"/>
    <col min="2" max="2" width="32.86328125" customWidth="1"/>
    <col min="3" max="3" width="33.3984375" customWidth="1"/>
    <col min="4" max="4" width="58.59765625" customWidth="1"/>
    <col min="5" max="5" width="7.59765625" style="10" customWidth="1"/>
    <col min="6" max="6" width="7.3984375" style="10" customWidth="1"/>
    <col min="7" max="8" width="7.3984375" customWidth="1"/>
    <col min="9" max="9" width="7.59765625" customWidth="1"/>
    <col min="10" max="10" width="10.59765625" customWidth="1"/>
    <col min="11" max="11" width="9.265625" style="10" customWidth="1"/>
    <col min="12" max="12" width="8.3984375" style="10" customWidth="1"/>
    <col min="13" max="13" width="8" style="10" customWidth="1"/>
    <col min="14" max="14" width="9.59765625" style="10" customWidth="1"/>
    <col min="15" max="15" width="7.59765625" customWidth="1"/>
    <col min="16" max="16" width="9.59765625" customWidth="1"/>
    <col min="17" max="17" width="8.59765625" customWidth="1"/>
    <col min="18" max="18" width="8" customWidth="1"/>
    <col min="19" max="19" width="10.3984375" customWidth="1"/>
    <col min="20" max="20" width="0.1328125" customWidth="1"/>
    <col min="21" max="21" width="8.3984375" customWidth="1"/>
    <col min="22" max="22" width="9.86328125" customWidth="1"/>
    <col min="23" max="23" width="8.59765625" customWidth="1"/>
    <col min="24" max="24" width="10.59765625" customWidth="1"/>
    <col min="25" max="25" width="8.86328125" style="1" customWidth="1"/>
  </cols>
  <sheetData>
    <row r="1" spans="1:25" s="3" customFormat="1" ht="21.6" customHeight="1" thickBot="1">
      <c r="A1" s="104"/>
      <c r="B1" s="105"/>
      <c r="C1" s="110" t="s">
        <v>65</v>
      </c>
      <c r="D1" s="111"/>
      <c r="E1" s="111"/>
      <c r="F1" s="111"/>
      <c r="G1" s="111"/>
      <c r="H1" s="111"/>
      <c r="I1" s="111"/>
      <c r="J1" s="111"/>
      <c r="K1" s="111"/>
      <c r="L1" s="112"/>
      <c r="M1" s="143" t="s">
        <v>27</v>
      </c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5"/>
      <c r="Y1" s="2"/>
    </row>
    <row r="2" spans="1:25" s="3" customFormat="1" ht="21.95" customHeight="1">
      <c r="A2" s="106"/>
      <c r="B2" s="107"/>
      <c r="C2" s="113"/>
      <c r="D2" s="114"/>
      <c r="E2" s="114"/>
      <c r="F2" s="114"/>
      <c r="G2" s="114"/>
      <c r="H2" s="114"/>
      <c r="I2" s="114"/>
      <c r="J2" s="114"/>
      <c r="K2" s="114"/>
      <c r="L2" s="115"/>
      <c r="M2" s="146" t="s">
        <v>3</v>
      </c>
      <c r="N2" s="146"/>
      <c r="O2" s="146"/>
      <c r="P2" s="146"/>
      <c r="Q2" s="146"/>
      <c r="R2" s="146"/>
      <c r="S2" s="147"/>
      <c r="T2" s="147"/>
      <c r="U2" s="147"/>
      <c r="V2" s="147"/>
      <c r="W2" s="147"/>
      <c r="X2" s="147"/>
      <c r="Y2" s="2"/>
    </row>
    <row r="3" spans="1:25" s="3" customFormat="1" ht="51.75" customHeight="1">
      <c r="A3" s="106"/>
      <c r="B3" s="107"/>
      <c r="C3" s="113"/>
      <c r="D3" s="114"/>
      <c r="E3" s="114"/>
      <c r="F3" s="114"/>
      <c r="G3" s="114"/>
      <c r="H3" s="114"/>
      <c r="I3" s="114"/>
      <c r="J3" s="114"/>
      <c r="K3" s="114"/>
      <c r="L3" s="115"/>
      <c r="M3" s="128" t="s">
        <v>4</v>
      </c>
      <c r="N3" s="128"/>
      <c r="O3" s="128"/>
      <c r="P3" s="128"/>
      <c r="Q3" s="128"/>
      <c r="R3" s="128"/>
      <c r="S3" s="140" t="s">
        <v>71</v>
      </c>
      <c r="T3" s="140"/>
      <c r="U3" s="140"/>
      <c r="V3" s="140"/>
      <c r="W3" s="140"/>
      <c r="X3" s="140"/>
      <c r="Y3" s="2"/>
    </row>
    <row r="4" spans="1:25" s="3" customFormat="1" ht="21.6" customHeight="1">
      <c r="A4" s="106"/>
      <c r="B4" s="107"/>
      <c r="C4" s="113"/>
      <c r="D4" s="114"/>
      <c r="E4" s="114"/>
      <c r="F4" s="114"/>
      <c r="G4" s="114"/>
      <c r="H4" s="114"/>
      <c r="I4" s="114"/>
      <c r="J4" s="114"/>
      <c r="K4" s="114"/>
      <c r="L4" s="115"/>
      <c r="M4" s="128" t="s">
        <v>5</v>
      </c>
      <c r="N4" s="128"/>
      <c r="O4" s="128"/>
      <c r="P4" s="128"/>
      <c r="Q4" s="128"/>
      <c r="R4" s="128"/>
      <c r="S4" s="129"/>
      <c r="T4" s="129"/>
      <c r="U4" s="129"/>
      <c r="V4" s="129"/>
      <c r="W4" s="129"/>
      <c r="X4" s="129"/>
      <c r="Y4" s="2"/>
    </row>
    <row r="5" spans="1:25" s="3" customFormat="1" ht="21.95" customHeight="1">
      <c r="A5" s="106"/>
      <c r="B5" s="107"/>
      <c r="C5" s="113"/>
      <c r="D5" s="114"/>
      <c r="E5" s="114"/>
      <c r="F5" s="114"/>
      <c r="G5" s="114"/>
      <c r="H5" s="114"/>
      <c r="I5" s="114"/>
      <c r="J5" s="114"/>
      <c r="K5" s="114"/>
      <c r="L5" s="115"/>
      <c r="M5" s="128" t="s">
        <v>57</v>
      </c>
      <c r="N5" s="128"/>
      <c r="O5" s="128"/>
      <c r="P5" s="128"/>
      <c r="Q5" s="128"/>
      <c r="R5" s="128"/>
      <c r="S5" s="129">
        <v>3000</v>
      </c>
      <c r="T5" s="129"/>
      <c r="U5" s="129"/>
      <c r="V5" s="129"/>
      <c r="W5" s="129"/>
      <c r="X5" s="129"/>
      <c r="Y5" s="2">
        <f>S5*0.9</f>
        <v>2700</v>
      </c>
    </row>
    <row r="6" spans="1:25" s="3" customFormat="1" ht="21.95" customHeight="1">
      <c r="A6" s="106"/>
      <c r="B6" s="107"/>
      <c r="C6" s="113"/>
      <c r="D6" s="114"/>
      <c r="E6" s="114"/>
      <c r="F6" s="114"/>
      <c r="G6" s="114"/>
      <c r="H6" s="114"/>
      <c r="I6" s="114"/>
      <c r="J6" s="114"/>
      <c r="K6" s="114"/>
      <c r="L6" s="115"/>
      <c r="M6" s="128" t="s">
        <v>58</v>
      </c>
      <c r="N6" s="128"/>
      <c r="O6" s="128"/>
      <c r="P6" s="128"/>
      <c r="Q6" s="128"/>
      <c r="R6" s="128"/>
      <c r="S6" s="129">
        <v>4500</v>
      </c>
      <c r="T6" s="129"/>
      <c r="U6" s="129"/>
      <c r="V6" s="129"/>
      <c r="W6" s="129"/>
      <c r="X6" s="129"/>
      <c r="Y6" s="2"/>
    </row>
    <row r="7" spans="1:25" s="3" customFormat="1" ht="21.95" customHeight="1">
      <c r="A7" s="106"/>
      <c r="B7" s="107"/>
      <c r="C7" s="113"/>
      <c r="D7" s="114"/>
      <c r="E7" s="114"/>
      <c r="F7" s="114"/>
      <c r="G7" s="114"/>
      <c r="H7" s="114"/>
      <c r="I7" s="114"/>
      <c r="J7" s="114"/>
      <c r="K7" s="114"/>
      <c r="L7" s="115"/>
      <c r="M7" s="128" t="s">
        <v>6</v>
      </c>
      <c r="N7" s="128"/>
      <c r="O7" s="128"/>
      <c r="P7" s="128"/>
      <c r="Q7" s="128"/>
      <c r="R7" s="128"/>
      <c r="S7" s="129"/>
      <c r="T7" s="129"/>
      <c r="U7" s="129"/>
      <c r="V7" s="129"/>
      <c r="W7" s="129"/>
      <c r="X7" s="129"/>
      <c r="Y7" s="2"/>
    </row>
    <row r="8" spans="1:25" s="3" customFormat="1" ht="21.95" customHeight="1">
      <c r="A8" s="106"/>
      <c r="B8" s="107"/>
      <c r="C8" s="113"/>
      <c r="D8" s="114"/>
      <c r="E8" s="114"/>
      <c r="F8" s="114"/>
      <c r="G8" s="114"/>
      <c r="H8" s="114"/>
      <c r="I8" s="114"/>
      <c r="J8" s="114"/>
      <c r="K8" s="114"/>
      <c r="L8" s="115"/>
      <c r="M8" s="128" t="s">
        <v>7</v>
      </c>
      <c r="N8" s="128"/>
      <c r="O8" s="128"/>
      <c r="P8" s="128"/>
      <c r="Q8" s="128"/>
      <c r="R8" s="128"/>
      <c r="S8" s="142"/>
      <c r="T8" s="142"/>
      <c r="U8" s="142"/>
      <c r="V8" s="142"/>
      <c r="W8" s="142"/>
      <c r="X8" s="142"/>
      <c r="Y8" s="2"/>
    </row>
    <row r="9" spans="1:25" s="3" customFormat="1" ht="21.95" customHeight="1">
      <c r="A9" s="106"/>
      <c r="B9" s="107"/>
      <c r="C9" s="113"/>
      <c r="D9" s="114"/>
      <c r="E9" s="114"/>
      <c r="F9" s="114"/>
      <c r="G9" s="114"/>
      <c r="H9" s="114"/>
      <c r="I9" s="114"/>
      <c r="J9" s="114"/>
      <c r="K9" s="114"/>
      <c r="L9" s="115"/>
      <c r="M9" s="128" t="s">
        <v>8</v>
      </c>
      <c r="N9" s="128"/>
      <c r="O9" s="128"/>
      <c r="P9" s="128"/>
      <c r="Q9" s="128"/>
      <c r="R9" s="128"/>
      <c r="S9" s="142"/>
      <c r="T9" s="142"/>
      <c r="U9" s="142"/>
      <c r="V9" s="142"/>
      <c r="W9" s="142"/>
      <c r="X9" s="142"/>
      <c r="Y9" s="2"/>
    </row>
    <row r="10" spans="1:25" s="3" customFormat="1" ht="21.95" customHeight="1">
      <c r="A10" s="106"/>
      <c r="B10" s="107"/>
      <c r="C10" s="113"/>
      <c r="D10" s="114"/>
      <c r="E10" s="114"/>
      <c r="F10" s="114"/>
      <c r="G10" s="114"/>
      <c r="H10" s="114"/>
      <c r="I10" s="114"/>
      <c r="J10" s="114"/>
      <c r="K10" s="114"/>
      <c r="L10" s="115"/>
      <c r="M10" s="128" t="s">
        <v>9</v>
      </c>
      <c r="N10" s="128"/>
      <c r="O10" s="128"/>
      <c r="P10" s="128"/>
      <c r="Q10" s="128"/>
      <c r="R10" s="128"/>
      <c r="S10" s="129"/>
      <c r="T10" s="129"/>
      <c r="U10" s="129"/>
      <c r="V10" s="129"/>
      <c r="W10" s="129"/>
      <c r="X10" s="129"/>
      <c r="Y10" s="2"/>
    </row>
    <row r="11" spans="1:25" s="3" customFormat="1" ht="21.95" customHeight="1">
      <c r="A11" s="106"/>
      <c r="B11" s="107"/>
      <c r="C11" s="113"/>
      <c r="D11" s="114"/>
      <c r="E11" s="114"/>
      <c r="F11" s="114"/>
      <c r="G11" s="114"/>
      <c r="H11" s="114"/>
      <c r="I11" s="114"/>
      <c r="J11" s="114"/>
      <c r="K11" s="114"/>
      <c r="L11" s="115"/>
      <c r="M11" s="128" t="s">
        <v>10</v>
      </c>
      <c r="N11" s="128"/>
      <c r="O11" s="128"/>
      <c r="P11" s="128"/>
      <c r="Q11" s="128"/>
      <c r="R11" s="128"/>
      <c r="S11" s="129"/>
      <c r="T11" s="129"/>
      <c r="U11" s="129"/>
      <c r="V11" s="129"/>
      <c r="W11" s="129"/>
      <c r="X11" s="129"/>
      <c r="Y11" s="2"/>
    </row>
    <row r="12" spans="1:25" s="3" customFormat="1" ht="21.95" customHeight="1">
      <c r="A12" s="106"/>
      <c r="B12" s="107"/>
      <c r="C12" s="113"/>
      <c r="D12" s="114"/>
      <c r="E12" s="114"/>
      <c r="F12" s="114"/>
      <c r="G12" s="114"/>
      <c r="H12" s="114"/>
      <c r="I12" s="114"/>
      <c r="J12" s="114"/>
      <c r="K12" s="114"/>
      <c r="L12" s="115"/>
      <c r="M12" s="128" t="s">
        <v>11</v>
      </c>
      <c r="N12" s="128"/>
      <c r="O12" s="128"/>
      <c r="P12" s="128"/>
      <c r="Q12" s="128"/>
      <c r="R12" s="128"/>
      <c r="S12" s="129"/>
      <c r="T12" s="129"/>
      <c r="U12" s="129"/>
      <c r="V12" s="129"/>
      <c r="W12" s="129"/>
      <c r="X12" s="129"/>
      <c r="Y12" s="2"/>
    </row>
    <row r="13" spans="1:25" s="3" customFormat="1" ht="21.95" customHeight="1">
      <c r="A13" s="106"/>
      <c r="B13" s="107"/>
      <c r="C13" s="113"/>
      <c r="D13" s="114"/>
      <c r="E13" s="114"/>
      <c r="F13" s="114"/>
      <c r="G13" s="114"/>
      <c r="H13" s="114"/>
      <c r="I13" s="114"/>
      <c r="J13" s="114"/>
      <c r="K13" s="114"/>
      <c r="L13" s="115"/>
      <c r="M13" s="128" t="s">
        <v>35</v>
      </c>
      <c r="N13" s="128"/>
      <c r="O13" s="128"/>
      <c r="P13" s="128"/>
      <c r="Q13" s="128"/>
      <c r="R13" s="128"/>
      <c r="S13" s="141" t="e">
        <f>U40</f>
        <v>#DIV/0!</v>
      </c>
      <c r="T13" s="141"/>
      <c r="U13" s="141"/>
      <c r="V13" s="141"/>
      <c r="W13" s="141"/>
      <c r="X13" s="141"/>
      <c r="Y13" s="2"/>
    </row>
    <row r="14" spans="1:25" s="3" customFormat="1" ht="21.95" customHeight="1">
      <c r="A14" s="106"/>
      <c r="B14" s="107"/>
      <c r="C14" s="113"/>
      <c r="D14" s="114"/>
      <c r="E14" s="114"/>
      <c r="F14" s="114"/>
      <c r="G14" s="114"/>
      <c r="H14" s="114"/>
      <c r="I14" s="114"/>
      <c r="J14" s="114"/>
      <c r="K14" s="114"/>
      <c r="L14" s="115"/>
      <c r="M14" s="128" t="s">
        <v>29</v>
      </c>
      <c r="N14" s="128"/>
      <c r="O14" s="128"/>
      <c r="P14" s="128"/>
      <c r="Q14" s="128"/>
      <c r="R14" s="128"/>
      <c r="S14" s="129">
        <v>0.85</v>
      </c>
      <c r="T14" s="129"/>
      <c r="U14" s="129"/>
      <c r="V14" s="129"/>
      <c r="W14" s="129"/>
      <c r="X14" s="129"/>
      <c r="Y14" s="2"/>
    </row>
    <row r="15" spans="1:25" s="3" customFormat="1" ht="21.95" customHeight="1" thickBot="1">
      <c r="A15" s="108"/>
      <c r="B15" s="109"/>
      <c r="C15" s="116"/>
      <c r="D15" s="117"/>
      <c r="E15" s="117"/>
      <c r="F15" s="117"/>
      <c r="G15" s="117"/>
      <c r="H15" s="117"/>
      <c r="I15" s="117"/>
      <c r="J15" s="117"/>
      <c r="K15" s="117"/>
      <c r="L15" s="118"/>
      <c r="M15" s="134" t="s">
        <v>36</v>
      </c>
      <c r="N15" s="134"/>
      <c r="O15" s="134"/>
      <c r="P15" s="134"/>
      <c r="Q15" s="134"/>
      <c r="R15" s="134"/>
      <c r="S15" s="103" t="e">
        <f>60*S14/S13</f>
        <v>#DIV/0!</v>
      </c>
      <c r="T15" s="103"/>
      <c r="U15" s="103"/>
      <c r="V15" s="103"/>
      <c r="W15" s="103"/>
      <c r="X15" s="103"/>
      <c r="Y15" s="2"/>
    </row>
    <row r="16" spans="1:25" s="2" customFormat="1" ht="62.25" customHeight="1">
      <c r="A16" s="119" t="s">
        <v>12</v>
      </c>
      <c r="B16" s="121" t="s">
        <v>28</v>
      </c>
      <c r="C16" s="123" t="s">
        <v>41</v>
      </c>
      <c r="D16" s="124" t="s">
        <v>13</v>
      </c>
      <c r="E16" s="126" t="s">
        <v>14</v>
      </c>
      <c r="F16" s="127"/>
      <c r="G16" s="151" t="s">
        <v>15</v>
      </c>
      <c r="H16" s="152"/>
      <c r="I16" s="151" t="s">
        <v>16</v>
      </c>
      <c r="J16" s="152"/>
      <c r="K16" s="132" t="s">
        <v>30</v>
      </c>
      <c r="L16" s="132" t="s">
        <v>32</v>
      </c>
      <c r="M16" s="132" t="s">
        <v>31</v>
      </c>
      <c r="N16" s="132" t="s">
        <v>17</v>
      </c>
      <c r="O16" s="123" t="s">
        <v>18</v>
      </c>
      <c r="P16" s="123" t="s">
        <v>33</v>
      </c>
      <c r="Q16" s="123" t="s">
        <v>19</v>
      </c>
      <c r="R16" s="123" t="s">
        <v>20</v>
      </c>
      <c r="S16" s="123" t="s">
        <v>21</v>
      </c>
      <c r="T16" s="123" t="s">
        <v>64</v>
      </c>
      <c r="U16" s="123" t="s">
        <v>22</v>
      </c>
      <c r="V16" s="123" t="s">
        <v>23</v>
      </c>
      <c r="W16" s="123" t="s">
        <v>24</v>
      </c>
      <c r="X16" s="130" t="s">
        <v>25</v>
      </c>
    </row>
    <row r="17" spans="1:26" s="2" customFormat="1" ht="18" customHeight="1" thickBot="1">
      <c r="A17" s="120" t="s">
        <v>2</v>
      </c>
      <c r="B17" s="122"/>
      <c r="C17" s="122"/>
      <c r="D17" s="125"/>
      <c r="E17" s="9" t="s">
        <v>0</v>
      </c>
      <c r="F17" s="9" t="s">
        <v>1</v>
      </c>
      <c r="G17" s="4" t="s">
        <v>0</v>
      </c>
      <c r="H17" s="4" t="s">
        <v>1</v>
      </c>
      <c r="I17" s="4" t="s">
        <v>0</v>
      </c>
      <c r="J17" s="4" t="s">
        <v>1</v>
      </c>
      <c r="K17" s="133"/>
      <c r="L17" s="133"/>
      <c r="M17" s="133"/>
      <c r="N17" s="133"/>
      <c r="O17" s="122"/>
      <c r="P17" s="122"/>
      <c r="Q17" s="122"/>
      <c r="R17" s="122"/>
      <c r="S17" s="122"/>
      <c r="T17" s="122"/>
      <c r="U17" s="122"/>
      <c r="V17" s="122"/>
      <c r="W17" s="122"/>
      <c r="X17" s="131"/>
    </row>
    <row r="18" spans="1:26" s="2" customFormat="1" ht="20.100000000000001" customHeight="1" thickBot="1">
      <c r="A18" s="49"/>
      <c r="B18" s="153" t="s">
        <v>62</v>
      </c>
      <c r="C18" s="154"/>
      <c r="D18" s="50"/>
      <c r="E18" s="51"/>
      <c r="F18" s="51"/>
      <c r="G18" s="50"/>
      <c r="H18" s="50"/>
      <c r="I18" s="50"/>
      <c r="J18" s="50"/>
      <c r="K18" s="51"/>
      <c r="L18" s="51"/>
      <c r="M18" s="52"/>
      <c r="N18" s="53"/>
      <c r="O18" s="53"/>
      <c r="P18" s="53"/>
      <c r="Q18" s="53"/>
      <c r="R18" s="53"/>
      <c r="S18" s="53"/>
      <c r="T18" s="53"/>
      <c r="U18" s="53"/>
      <c r="V18" s="53"/>
      <c r="W18" s="52"/>
      <c r="X18" s="54"/>
    </row>
    <row r="19" spans="1:26" s="2" customFormat="1" ht="20.100000000000001" customHeight="1" thickBot="1">
      <c r="A19" s="76"/>
      <c r="B19" s="79" t="s">
        <v>68</v>
      </c>
      <c r="C19" s="80"/>
      <c r="D19" s="81"/>
      <c r="E19" s="82"/>
      <c r="F19" s="82"/>
      <c r="G19" s="81"/>
      <c r="H19" s="81"/>
      <c r="I19" s="81"/>
      <c r="J19" s="81"/>
      <c r="K19" s="82"/>
      <c r="L19" s="82"/>
      <c r="M19" s="83"/>
      <c r="N19" s="84"/>
      <c r="O19" s="84"/>
      <c r="P19" s="84"/>
      <c r="Q19" s="84"/>
      <c r="R19" s="84"/>
      <c r="S19" s="84"/>
      <c r="T19" s="84"/>
      <c r="U19" s="84"/>
      <c r="V19" s="84"/>
      <c r="W19" s="85"/>
      <c r="X19" s="86">
        <v>20</v>
      </c>
    </row>
    <row r="20" spans="1:26" s="2" customFormat="1" ht="20.100000000000001" customHeight="1">
      <c r="A20" s="101"/>
      <c r="B20" s="96"/>
      <c r="C20" s="96"/>
      <c r="D20" s="98"/>
      <c r="E20" s="100"/>
      <c r="F20" s="100"/>
      <c r="G20" s="99"/>
      <c r="H20" s="44" t="e">
        <f t="shared" ref="H20" si="0">F20*I20*3.14/1000</f>
        <v>#DIV/0!</v>
      </c>
      <c r="I20" s="44" t="e">
        <f t="shared" ref="I20" si="1">IF(G20*1000/F20/3.1415&lt;=$S$5,G20*1000/F20/3.1415,$Y$5)</f>
        <v>#DIV/0!</v>
      </c>
      <c r="J20" s="44" t="e">
        <f t="shared" ref="J20" si="2">IF(G20*1000/E20/3.1415&lt;=$S$5,G20*1000/E20/3.1415,$S$5)</f>
        <v>#DIV/0!</v>
      </c>
      <c r="K20" s="100"/>
      <c r="L20" s="40">
        <v>5</v>
      </c>
      <c r="M20" s="46">
        <f t="shared" ref="M20" si="3">K20+L20</f>
        <v>5</v>
      </c>
      <c r="N20" s="40">
        <f>(E20-F20)/2</f>
        <v>0</v>
      </c>
      <c r="O20" s="42">
        <v>1</v>
      </c>
      <c r="P20" s="46">
        <f t="shared" ref="P20" si="4">N20/O20</f>
        <v>0</v>
      </c>
      <c r="Q20" s="44">
        <f t="shared" ref="Q20" si="5">M20*O20</f>
        <v>5</v>
      </c>
      <c r="R20" s="102"/>
      <c r="S20" s="44" t="e">
        <f t="shared" ref="S20" si="6">R20*(I20+J20)/2</f>
        <v>#DIV/0!</v>
      </c>
      <c r="T20" s="87" t="e">
        <f t="shared" ref="T20" si="7">(G20*P20*R20*(1-P20/E20))*(1200/((R20*SIN(95))^0.28))/60000*0.8</f>
        <v>#DIV/0!</v>
      </c>
      <c r="U20" s="42">
        <v>3</v>
      </c>
      <c r="V20" s="41">
        <v>5</v>
      </c>
      <c r="W20" s="46" t="e">
        <f t="shared" ref="W20" si="8">(Q20*3.1415*60*((E20+(G20*1000/(3.1415*I20)))/2)/(R20*G20*1000))</f>
        <v>#DIV/0!</v>
      </c>
      <c r="X20" s="48" t="e">
        <f t="shared" ref="X20" si="9">W20+U20+V20</f>
        <v>#DIV/0!</v>
      </c>
      <c r="Y20" s="33" t="s">
        <v>69</v>
      </c>
      <c r="Z20" s="2" t="s">
        <v>70</v>
      </c>
    </row>
    <row r="21" spans="1:26" s="2" customFormat="1" ht="20.100000000000001" customHeight="1">
      <c r="A21" s="16"/>
      <c r="B21" s="97"/>
      <c r="C21" s="97"/>
      <c r="D21" s="61"/>
      <c r="E21" s="18"/>
      <c r="F21" s="18"/>
      <c r="G21" s="19"/>
      <c r="H21" s="43"/>
      <c r="I21" s="43"/>
      <c r="J21" s="43"/>
      <c r="K21" s="18"/>
      <c r="L21" s="18"/>
      <c r="M21" s="45"/>
      <c r="N21" s="18"/>
      <c r="O21" s="17"/>
      <c r="P21" s="45"/>
      <c r="Q21" s="43"/>
      <c r="R21" s="20"/>
      <c r="S21" s="43"/>
      <c r="T21" s="21"/>
      <c r="U21" s="17"/>
      <c r="V21" s="19"/>
      <c r="W21" s="45"/>
      <c r="X21" s="47"/>
      <c r="Y21" s="33"/>
    </row>
    <row r="22" spans="1:26" s="2" customFormat="1" ht="20.100000000000001" customHeight="1">
      <c r="A22" s="16"/>
      <c r="B22" s="97"/>
      <c r="C22" s="97"/>
      <c r="D22" s="62"/>
      <c r="E22" s="18"/>
      <c r="F22" s="18"/>
      <c r="G22" s="19"/>
      <c r="H22" s="43"/>
      <c r="I22" s="43"/>
      <c r="J22" s="43"/>
      <c r="K22" s="18"/>
      <c r="L22" s="18"/>
      <c r="M22" s="45"/>
      <c r="N22" s="18"/>
      <c r="O22" s="17"/>
      <c r="P22" s="45"/>
      <c r="Q22" s="43"/>
      <c r="R22" s="20"/>
      <c r="S22" s="43"/>
      <c r="T22" s="21"/>
      <c r="U22" s="17"/>
      <c r="V22" s="19"/>
      <c r="W22" s="45"/>
      <c r="X22" s="47"/>
      <c r="Y22" s="33"/>
    </row>
    <row r="23" spans="1:26" s="2" customFormat="1" ht="20.100000000000001" customHeight="1" thickBot="1">
      <c r="A23" s="49"/>
      <c r="B23" s="156" t="s">
        <v>63</v>
      </c>
      <c r="C23" s="157"/>
      <c r="D23" s="50"/>
      <c r="E23" s="51"/>
      <c r="F23" s="51"/>
      <c r="G23" s="50"/>
      <c r="H23" s="50"/>
      <c r="I23" s="50"/>
      <c r="J23" s="50"/>
      <c r="K23" s="51"/>
      <c r="L23" s="51"/>
      <c r="M23" s="52"/>
      <c r="N23" s="53"/>
      <c r="O23" s="53"/>
      <c r="P23" s="53"/>
      <c r="Q23" s="53"/>
      <c r="R23" s="53"/>
      <c r="S23" s="53"/>
      <c r="T23" s="53"/>
      <c r="U23" s="53"/>
      <c r="V23" s="53"/>
      <c r="W23" s="52"/>
      <c r="X23" s="54"/>
    </row>
    <row r="24" spans="1:26" s="2" customFormat="1" ht="20.100000000000001" customHeight="1" thickBot="1">
      <c r="A24" s="76"/>
      <c r="B24" s="79" t="s">
        <v>67</v>
      </c>
      <c r="C24" s="80"/>
      <c r="D24" s="81"/>
      <c r="E24" s="82"/>
      <c r="F24" s="82"/>
      <c r="G24" s="81"/>
      <c r="H24" s="81"/>
      <c r="I24" s="81"/>
      <c r="J24" s="81"/>
      <c r="K24" s="82"/>
      <c r="L24" s="82"/>
      <c r="M24" s="83"/>
      <c r="N24" s="84"/>
      <c r="O24" s="84"/>
      <c r="P24" s="84"/>
      <c r="Q24" s="84"/>
      <c r="R24" s="84"/>
      <c r="S24" s="84"/>
      <c r="T24" s="84"/>
      <c r="U24" s="84"/>
      <c r="V24" s="84"/>
      <c r="W24" s="85"/>
      <c r="X24" s="86">
        <v>20</v>
      </c>
    </row>
    <row r="25" spans="1:26" s="2" customFormat="1" ht="20.100000000000001" customHeight="1">
      <c r="A25" s="101"/>
      <c r="B25" s="96"/>
      <c r="C25" s="96"/>
      <c r="D25" s="98"/>
      <c r="E25" s="100"/>
      <c r="F25" s="100"/>
      <c r="G25" s="99"/>
      <c r="H25" s="44" t="e">
        <f t="shared" ref="H25" si="10">F25*I25*3.14/1000</f>
        <v>#DIV/0!</v>
      </c>
      <c r="I25" s="44" t="e">
        <f t="shared" ref="I25" si="11">IF(G25*1000/F25/3.1415&lt;=$S$5,G25*1000/F25/3.1415,$Y$5)</f>
        <v>#DIV/0!</v>
      </c>
      <c r="J25" s="44" t="e">
        <f t="shared" ref="J25" si="12">IF(G25*1000/E25/3.1415&lt;=$S$5,G25*1000/E25/3.1415,$S$5)</f>
        <v>#DIV/0!</v>
      </c>
      <c r="K25" s="100"/>
      <c r="L25" s="40">
        <v>5</v>
      </c>
      <c r="M25" s="46">
        <f t="shared" ref="M25" si="13">K25+L25</f>
        <v>5</v>
      </c>
      <c r="N25" s="40">
        <f>(E25-F25)/2</f>
        <v>0</v>
      </c>
      <c r="O25" s="42">
        <v>1</v>
      </c>
      <c r="P25" s="46">
        <f t="shared" ref="P25" si="14">N25/O25</f>
        <v>0</v>
      </c>
      <c r="Q25" s="44">
        <f t="shared" ref="Q25" si="15">M25*O25</f>
        <v>5</v>
      </c>
      <c r="R25" s="102"/>
      <c r="S25" s="44" t="e">
        <f t="shared" ref="S25" si="16">R25*(I25+J25)/2</f>
        <v>#DIV/0!</v>
      </c>
      <c r="T25" s="87" t="e">
        <f t="shared" ref="T25" si="17">(G25*P25*R25*(1-P25/E25))*(1200/((R25*SIN(95))^0.28))/60000*0.8</f>
        <v>#DIV/0!</v>
      </c>
      <c r="U25" s="42">
        <v>3</v>
      </c>
      <c r="V25" s="41">
        <v>5</v>
      </c>
      <c r="W25" s="46" t="e">
        <f t="shared" ref="W25" si="18">(Q25*3.1415*60*((E25+(G25*1000/(3.1415*I25)))/2)/(R25*G25*1000))</f>
        <v>#DIV/0!</v>
      </c>
      <c r="X25" s="48" t="e">
        <f t="shared" ref="X25" si="19">W25+U25+V25</f>
        <v>#DIV/0!</v>
      </c>
      <c r="Y25" s="33" t="s">
        <v>69</v>
      </c>
      <c r="Z25" s="2" t="s">
        <v>70</v>
      </c>
    </row>
    <row r="26" spans="1:26" s="2" customFormat="1" ht="20.100000000000001" customHeight="1">
      <c r="A26" s="16"/>
      <c r="B26" s="97"/>
      <c r="C26" s="97"/>
      <c r="D26" s="61"/>
      <c r="E26" s="18"/>
      <c r="F26" s="18"/>
      <c r="G26" s="19"/>
      <c r="H26" s="43"/>
      <c r="I26" s="43"/>
      <c r="J26" s="43"/>
      <c r="K26" s="18"/>
      <c r="L26" s="18"/>
      <c r="M26" s="45"/>
      <c r="N26" s="18"/>
      <c r="O26" s="17"/>
      <c r="P26" s="45"/>
      <c r="Q26" s="43"/>
      <c r="R26" s="20"/>
      <c r="S26" s="43"/>
      <c r="T26" s="21"/>
      <c r="U26" s="17"/>
      <c r="V26" s="19"/>
      <c r="W26" s="45"/>
      <c r="X26" s="47"/>
      <c r="Y26" s="33"/>
    </row>
    <row r="27" spans="1:26" s="2" customFormat="1" ht="20.100000000000001" customHeight="1">
      <c r="A27" s="16"/>
      <c r="B27" s="97"/>
      <c r="C27" s="97"/>
      <c r="D27" s="62"/>
      <c r="E27" s="18"/>
      <c r="F27" s="18"/>
      <c r="G27" s="19"/>
      <c r="H27" s="43"/>
      <c r="I27" s="43"/>
      <c r="J27" s="43"/>
      <c r="K27" s="18"/>
      <c r="L27" s="18"/>
      <c r="M27" s="45"/>
      <c r="N27" s="18"/>
      <c r="O27" s="17"/>
      <c r="P27" s="45"/>
      <c r="Q27" s="43"/>
      <c r="R27" s="20"/>
      <c r="S27" s="43"/>
      <c r="T27" s="21"/>
      <c r="U27" s="17"/>
      <c r="V27" s="19"/>
      <c r="W27" s="45"/>
      <c r="X27" s="47"/>
      <c r="Y27" s="33"/>
    </row>
    <row r="28" spans="1:26" s="2" customFormat="1" ht="20.100000000000001" customHeight="1" thickBot="1">
      <c r="A28" s="88"/>
      <c r="B28" s="89" t="s">
        <v>59</v>
      </c>
      <c r="C28" s="90"/>
      <c r="D28" s="91"/>
      <c r="E28" s="92"/>
      <c r="F28" s="92"/>
      <c r="G28" s="91"/>
      <c r="H28" s="91"/>
      <c r="I28" s="91"/>
      <c r="J28" s="91"/>
      <c r="K28" s="92"/>
      <c r="L28" s="92"/>
      <c r="M28" s="93"/>
      <c r="N28" s="90"/>
      <c r="O28" s="90"/>
      <c r="P28" s="90"/>
      <c r="Q28" s="90"/>
      <c r="R28" s="90"/>
      <c r="S28" s="90"/>
      <c r="T28" s="90"/>
      <c r="U28" s="90"/>
      <c r="V28" s="90"/>
      <c r="W28" s="94"/>
      <c r="X28" s="95">
        <v>20</v>
      </c>
      <c r="Y28" s="8"/>
      <c r="Z28" s="8"/>
    </row>
    <row r="29" spans="1:26" s="1" customFormat="1" ht="26.25" customHeight="1" thickBot="1">
      <c r="E29" s="63"/>
      <c r="F29" s="63"/>
      <c r="K29" s="63"/>
      <c r="L29" s="63"/>
      <c r="M29" s="63"/>
      <c r="U29" s="77"/>
      <c r="V29" s="138" t="s">
        <v>26</v>
      </c>
      <c r="W29" s="139"/>
      <c r="X29" s="78" t="e">
        <f>SUM(X18:X28)</f>
        <v>#DIV/0!</v>
      </c>
      <c r="Y29" s="34" t="e">
        <f>SUM(W20:W27)</f>
        <v>#DIV/0!</v>
      </c>
    </row>
    <row r="30" spans="1:26" s="1" customFormat="1" ht="23.25" customHeight="1">
      <c r="B30" s="15" t="s">
        <v>34</v>
      </c>
      <c r="C30" s="22"/>
      <c r="E30" s="63"/>
      <c r="F30" s="63"/>
      <c r="K30" s="63"/>
      <c r="L30" s="63"/>
      <c r="M30" s="63"/>
      <c r="V30" s="64"/>
      <c r="W30" s="64"/>
      <c r="X30" s="65"/>
    </row>
    <row r="31" spans="1:26" s="1" customFormat="1" ht="23.25" customHeight="1">
      <c r="B31" s="15"/>
      <c r="C31" s="66"/>
      <c r="E31" s="63"/>
      <c r="F31" s="63"/>
      <c r="K31" s="63"/>
      <c r="L31" s="63"/>
      <c r="M31" s="63"/>
      <c r="V31" s="64"/>
      <c r="W31" s="64"/>
      <c r="X31" s="65"/>
    </row>
    <row r="32" spans="1:26" s="1" customFormat="1" ht="23.25" customHeight="1">
      <c r="B32" s="15" t="s">
        <v>72</v>
      </c>
      <c r="C32" s="22"/>
      <c r="D32" s="22"/>
      <c r="E32" s="67"/>
      <c r="F32" s="67"/>
      <c r="G32" s="22"/>
      <c r="H32" s="22"/>
      <c r="K32" s="63"/>
      <c r="L32" s="63"/>
      <c r="M32" s="63"/>
      <c r="V32" s="64"/>
      <c r="W32" s="64"/>
      <c r="X32" s="65"/>
    </row>
    <row r="33" spans="1:25" s="22" customFormat="1" ht="26.25" customHeight="1">
      <c r="B33" s="15" t="s">
        <v>37</v>
      </c>
      <c r="E33" s="67"/>
      <c r="F33" s="67"/>
      <c r="K33" s="67"/>
      <c r="L33" s="67"/>
      <c r="M33" s="67"/>
      <c r="Y33" s="1"/>
    </row>
    <row r="34" spans="1:25" s="22" customFormat="1" ht="25.5" customHeight="1">
      <c r="B34" s="15"/>
      <c r="E34" s="67"/>
      <c r="F34" s="67"/>
      <c r="K34" s="67"/>
      <c r="L34" s="67"/>
      <c r="M34" s="67"/>
      <c r="Y34" s="1"/>
    </row>
    <row r="35" spans="1:25" s="22" customFormat="1" ht="25.5" customHeight="1">
      <c r="B35" s="15" t="s">
        <v>38</v>
      </c>
      <c r="E35" s="67"/>
      <c r="F35" s="67"/>
      <c r="K35" s="67"/>
      <c r="L35" s="67"/>
      <c r="M35" s="67"/>
      <c r="Y35" s="1"/>
    </row>
    <row r="36" spans="1:25" s="22" customFormat="1" ht="26.25" customHeight="1">
      <c r="B36" s="15"/>
      <c r="E36" s="67"/>
      <c r="F36" s="67"/>
      <c r="K36" s="67"/>
      <c r="L36" s="67"/>
      <c r="M36" s="67"/>
      <c r="Y36" s="1"/>
    </row>
    <row r="37" spans="1:25" s="22" customFormat="1" ht="78.599999999999994" customHeight="1">
      <c r="B37" s="150" t="s">
        <v>66</v>
      </c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32"/>
    </row>
    <row r="38" spans="1:25" s="22" customFormat="1" ht="26.25" customHeight="1" thickBot="1">
      <c r="B38" s="68"/>
      <c r="C38" s="68"/>
      <c r="D38" s="68"/>
      <c r="E38" s="68"/>
      <c r="F38" s="68"/>
      <c r="G38" s="68"/>
      <c r="H38" s="68"/>
      <c r="K38" s="67"/>
      <c r="L38" s="67"/>
      <c r="M38" s="67"/>
      <c r="N38" s="67"/>
      <c r="Y38" s="1"/>
    </row>
    <row r="39" spans="1:25" s="22" customFormat="1" ht="26.25" customHeight="1" thickBot="1">
      <c r="B39" s="68"/>
      <c r="C39" s="68"/>
      <c r="D39" s="68"/>
      <c r="E39" s="68"/>
      <c r="F39" s="68"/>
      <c r="G39" s="68"/>
      <c r="H39" s="68"/>
      <c r="I39" s="69"/>
      <c r="J39" s="56" t="s">
        <v>60</v>
      </c>
      <c r="K39" s="57"/>
      <c r="L39" s="57"/>
      <c r="M39" s="57"/>
      <c r="N39" s="57"/>
      <c r="O39" s="58"/>
      <c r="P39" s="58"/>
      <c r="Q39" s="58"/>
      <c r="R39" s="58"/>
      <c r="S39" s="58"/>
      <c r="T39" s="59"/>
      <c r="U39" s="148" t="e">
        <f>X29</f>
        <v>#DIV/0!</v>
      </c>
      <c r="V39" s="149"/>
      <c r="W39" s="155" t="s">
        <v>39</v>
      </c>
      <c r="X39" s="155"/>
      <c r="Y39" s="1"/>
    </row>
    <row r="40" spans="1:25" s="22" customFormat="1" ht="26.25" customHeight="1" thickBot="1">
      <c r="B40" s="68"/>
      <c r="C40" s="68"/>
      <c r="D40" s="68"/>
      <c r="E40" s="68"/>
      <c r="F40" s="68"/>
      <c r="G40" s="68"/>
      <c r="H40" s="68"/>
      <c r="I40" s="69"/>
      <c r="J40" s="70"/>
      <c r="K40" s="71"/>
      <c r="L40" s="71"/>
      <c r="M40" s="71"/>
      <c r="N40" s="71"/>
      <c r="O40" s="70"/>
      <c r="P40" s="72"/>
      <c r="Q40" s="70"/>
      <c r="R40" s="73"/>
      <c r="S40" s="73"/>
      <c r="T40" s="7"/>
      <c r="U40" s="135" t="e">
        <f>U39/60</f>
        <v>#DIV/0!</v>
      </c>
      <c r="V40" s="136"/>
      <c r="W40" s="137" t="s">
        <v>40</v>
      </c>
      <c r="X40" s="137"/>
      <c r="Y40" s="1"/>
    </row>
    <row r="41" spans="1:25" s="22" customFormat="1" ht="26.25" customHeight="1" thickBot="1">
      <c r="B41" s="15"/>
      <c r="E41" s="67"/>
      <c r="F41" s="67"/>
      <c r="J41" s="23"/>
      <c r="K41" s="24"/>
      <c r="L41" s="24"/>
      <c r="M41" s="24"/>
      <c r="N41" s="24"/>
      <c r="O41" s="25"/>
      <c r="P41" s="26"/>
      <c r="Q41" s="25"/>
      <c r="R41" s="27"/>
      <c r="S41" s="27"/>
      <c r="T41" s="28"/>
      <c r="U41" s="29"/>
      <c r="V41" s="29"/>
      <c r="W41" s="30"/>
      <c r="X41" s="30"/>
      <c r="Y41" s="1"/>
    </row>
    <row r="42" spans="1:25" s="22" customFormat="1" ht="26.25" customHeight="1" thickBot="1">
      <c r="B42" s="39"/>
      <c r="E42" s="67"/>
      <c r="F42" s="67"/>
      <c r="I42" s="69"/>
      <c r="J42" s="56" t="s">
        <v>61</v>
      </c>
      <c r="K42" s="57"/>
      <c r="L42" s="57"/>
      <c r="M42" s="57"/>
      <c r="N42" s="57"/>
      <c r="O42" s="58"/>
      <c r="P42" s="58"/>
      <c r="Q42" s="58"/>
      <c r="R42" s="58"/>
      <c r="S42" s="58"/>
      <c r="T42" s="59"/>
      <c r="U42" s="148" t="e">
        <f>Y29</f>
        <v>#DIV/0!</v>
      </c>
      <c r="V42" s="149"/>
      <c r="W42" s="60" t="s">
        <v>39</v>
      </c>
      <c r="X42" s="60"/>
      <c r="Y42" s="1"/>
    </row>
    <row r="43" spans="1:25" s="22" customFormat="1" ht="26.25" customHeight="1" thickBot="1">
      <c r="B43" s="15"/>
      <c r="E43" s="67"/>
      <c r="F43" s="67"/>
      <c r="J43" s="74"/>
      <c r="K43" s="75"/>
      <c r="L43" s="75"/>
      <c r="M43" s="75"/>
      <c r="N43" s="75"/>
      <c r="O43" s="70"/>
      <c r="P43" s="72"/>
      <c r="Q43" s="70"/>
      <c r="R43" s="73"/>
      <c r="S43" s="73"/>
      <c r="T43" s="31"/>
      <c r="U43" s="135" t="e">
        <f>U42/60</f>
        <v>#DIV/0!</v>
      </c>
      <c r="V43" s="136"/>
      <c r="W43" s="55" t="s">
        <v>40</v>
      </c>
      <c r="X43" s="55"/>
      <c r="Y43" s="1"/>
    </row>
    <row r="45" spans="1:25">
      <c r="A45" s="5"/>
      <c r="X45" s="6"/>
    </row>
    <row r="46" spans="1:25">
      <c r="A46" s="5"/>
      <c r="X46" s="6"/>
    </row>
    <row r="47" spans="1:25">
      <c r="A47" s="5"/>
      <c r="X47" s="6"/>
    </row>
    <row r="48" spans="1:25">
      <c r="A48" s="5"/>
      <c r="X48" s="6"/>
    </row>
    <row r="49" spans="1:25">
      <c r="A49" s="5"/>
      <c r="X49" s="6"/>
    </row>
    <row r="50" spans="1:25">
      <c r="A50" s="5"/>
      <c r="X50" s="6"/>
    </row>
    <row r="51" spans="1:25">
      <c r="A51" s="5"/>
      <c r="X51" s="6"/>
    </row>
    <row r="52" spans="1:25">
      <c r="A52" s="5"/>
      <c r="X52" s="6"/>
    </row>
    <row r="53" spans="1:25" ht="14.65" thickBot="1">
      <c r="A53" s="35"/>
      <c r="B53" s="36"/>
      <c r="C53" s="36"/>
      <c r="D53" s="36"/>
      <c r="E53" s="37"/>
      <c r="F53" s="37"/>
      <c r="G53" s="36"/>
      <c r="H53" s="36"/>
      <c r="I53" s="36"/>
      <c r="J53" s="36"/>
      <c r="K53" s="37"/>
      <c r="L53" s="37"/>
      <c r="M53" s="37"/>
      <c r="N53" s="37"/>
      <c r="O53" s="36"/>
      <c r="P53" s="36"/>
      <c r="Q53" s="36"/>
      <c r="R53" s="36"/>
      <c r="S53" s="36"/>
      <c r="T53" s="36"/>
      <c r="U53" s="36"/>
      <c r="V53" s="36"/>
      <c r="W53" s="36"/>
      <c r="X53" s="38"/>
    </row>
    <row r="54" spans="1:25">
      <c r="A54" s="5"/>
      <c r="B54" s="39"/>
      <c r="Y54"/>
    </row>
    <row r="55" spans="1:25" ht="17.649999999999999">
      <c r="A55" s="5"/>
      <c r="B55" s="15"/>
      <c r="Y55"/>
    </row>
    <row r="56" spans="1:25">
      <c r="A56" s="5"/>
      <c r="Y56"/>
    </row>
    <row r="57" spans="1:25">
      <c r="A57" s="5"/>
      <c r="Y57"/>
    </row>
    <row r="58" spans="1:25">
      <c r="A58" s="5"/>
      <c r="Y58"/>
    </row>
    <row r="59" spans="1:25">
      <c r="Y59"/>
    </row>
    <row r="60" spans="1:25">
      <c r="Y60"/>
    </row>
    <row r="61" spans="1:25">
      <c r="Y61"/>
    </row>
  </sheetData>
  <mergeCells count="62">
    <mergeCell ref="M1:X1"/>
    <mergeCell ref="M2:R2"/>
    <mergeCell ref="S2:X2"/>
    <mergeCell ref="U43:V43"/>
    <mergeCell ref="U42:V42"/>
    <mergeCell ref="B37:X37"/>
    <mergeCell ref="G16:H16"/>
    <mergeCell ref="I16:J16"/>
    <mergeCell ref="B18:C18"/>
    <mergeCell ref="L16:L17"/>
    <mergeCell ref="K16:K17"/>
    <mergeCell ref="N16:N17"/>
    <mergeCell ref="U39:V39"/>
    <mergeCell ref="W39:X39"/>
    <mergeCell ref="M6:R6"/>
    <mergeCell ref="B23:C23"/>
    <mergeCell ref="S6:X6"/>
    <mergeCell ref="M13:R13"/>
    <mergeCell ref="S13:X13"/>
    <mergeCell ref="M14:R14"/>
    <mergeCell ref="S14:X14"/>
    <mergeCell ref="S7:X7"/>
    <mergeCell ref="M8:R8"/>
    <mergeCell ref="S8:X8"/>
    <mergeCell ref="M10:R10"/>
    <mergeCell ref="S10:X10"/>
    <mergeCell ref="M11:R11"/>
    <mergeCell ref="S11:X11"/>
    <mergeCell ref="S9:X9"/>
    <mergeCell ref="M3:R3"/>
    <mergeCell ref="S3:X3"/>
    <mergeCell ref="M4:R4"/>
    <mergeCell ref="S4:X4"/>
    <mergeCell ref="M5:R5"/>
    <mergeCell ref="S5:X5"/>
    <mergeCell ref="U40:V40"/>
    <mergeCell ref="W40:X40"/>
    <mergeCell ref="V29:W29"/>
    <mergeCell ref="W16:W17"/>
    <mergeCell ref="U16:U17"/>
    <mergeCell ref="V16:V17"/>
    <mergeCell ref="P16:P17"/>
    <mergeCell ref="T16:T17"/>
    <mergeCell ref="Q16:Q17"/>
    <mergeCell ref="S16:S17"/>
    <mergeCell ref="R16:R17"/>
    <mergeCell ref="S15:X15"/>
    <mergeCell ref="A1:B15"/>
    <mergeCell ref="C1:L15"/>
    <mergeCell ref="A16:A17"/>
    <mergeCell ref="B16:B17"/>
    <mergeCell ref="C16:C17"/>
    <mergeCell ref="D16:D17"/>
    <mergeCell ref="E16:F16"/>
    <mergeCell ref="M12:R12"/>
    <mergeCell ref="S12:X12"/>
    <mergeCell ref="M7:R7"/>
    <mergeCell ref="X16:X17"/>
    <mergeCell ref="M16:M17"/>
    <mergeCell ref="M15:R15"/>
    <mergeCell ref="M9:R9"/>
    <mergeCell ref="O16:O17"/>
  </mergeCells>
  <printOptions horizontalCentered="1"/>
  <pageMargins left="0.25" right="0.25" top="0.75" bottom="0.75" header="0.3" footer="0.3"/>
  <pageSetup paperSize="9" scale="47" fitToHeight="0" orientation="landscape" horizontalDpi="300" verticalDpi="300" r:id="rId1"/>
  <headerFooter>
    <oddFooter>&amp;C&amp;D&amp;RИнженер-технолог: Коровацкий Д. И.</oddFooter>
  </headerFooter>
  <rowBreaks count="1" manualBreakCount="1">
    <brk id="22" max="2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view="pageBreakPreview" zoomScale="115" zoomScaleNormal="100" zoomScaleSheetLayoutView="115" workbookViewId="0">
      <selection activeCell="F12" sqref="F12"/>
    </sheetView>
  </sheetViews>
  <sheetFormatPr defaultRowHeight="14.25"/>
  <cols>
    <col min="2" max="2" width="28" customWidth="1"/>
    <col min="3" max="3" width="33.3984375" customWidth="1"/>
    <col min="4" max="4" width="15" customWidth="1"/>
    <col min="5" max="5" width="10.59765625" customWidth="1"/>
    <col min="6" max="6" width="14.59765625" customWidth="1"/>
  </cols>
  <sheetData>
    <row r="1" spans="1:6">
      <c r="A1" s="12" t="s">
        <v>44</v>
      </c>
      <c r="B1" s="12" t="s">
        <v>45</v>
      </c>
      <c r="C1" s="12"/>
      <c r="D1" s="12" t="s">
        <v>46</v>
      </c>
      <c r="E1" s="12" t="s">
        <v>47</v>
      </c>
      <c r="F1" s="12" t="s">
        <v>48</v>
      </c>
    </row>
    <row r="2" spans="1:6">
      <c r="A2" s="13">
        <v>1</v>
      </c>
      <c r="B2" s="14" t="s">
        <v>49</v>
      </c>
      <c r="C2" s="14"/>
      <c r="D2" s="11">
        <v>1</v>
      </c>
      <c r="E2" s="11">
        <v>1</v>
      </c>
      <c r="F2" s="11">
        <v>0</v>
      </c>
    </row>
    <row r="3" spans="1:6">
      <c r="A3" s="13">
        <v>1</v>
      </c>
      <c r="B3" s="14" t="s">
        <v>56</v>
      </c>
      <c r="C3" s="14" t="s">
        <v>55</v>
      </c>
      <c r="D3" s="11">
        <v>1</v>
      </c>
      <c r="E3" s="11">
        <v>0</v>
      </c>
      <c r="F3" s="11">
        <v>1</v>
      </c>
    </row>
    <row r="4" spans="1:6">
      <c r="A4" s="13">
        <v>2</v>
      </c>
      <c r="B4" s="14" t="s">
        <v>42</v>
      </c>
      <c r="C4" s="14" t="s">
        <v>54</v>
      </c>
      <c r="D4" s="11">
        <v>2</v>
      </c>
      <c r="E4" s="11">
        <v>2</v>
      </c>
      <c r="F4" s="11">
        <v>0</v>
      </c>
    </row>
    <row r="5" spans="1:6">
      <c r="A5" s="13">
        <v>4</v>
      </c>
      <c r="B5" s="14" t="s">
        <v>43</v>
      </c>
      <c r="C5" s="14" t="s">
        <v>50</v>
      </c>
      <c r="D5" s="11">
        <v>1</v>
      </c>
      <c r="E5" s="11">
        <v>0</v>
      </c>
      <c r="F5" s="11">
        <v>1</v>
      </c>
    </row>
    <row r="6" spans="1:6" ht="15.75" customHeight="1">
      <c r="A6" s="13">
        <v>5</v>
      </c>
      <c r="B6" s="14" t="s">
        <v>43</v>
      </c>
      <c r="C6" s="14" t="s">
        <v>51</v>
      </c>
      <c r="D6" s="11">
        <v>2</v>
      </c>
      <c r="E6" s="11">
        <v>3</v>
      </c>
      <c r="F6" s="11">
        <v>0</v>
      </c>
    </row>
    <row r="7" spans="1:6">
      <c r="A7" s="13">
        <v>6</v>
      </c>
      <c r="B7" s="14" t="s">
        <v>52</v>
      </c>
      <c r="C7" s="14" t="s">
        <v>53</v>
      </c>
      <c r="D7" s="11">
        <v>2</v>
      </c>
      <c r="E7" s="11">
        <v>2</v>
      </c>
      <c r="F7" s="11">
        <v>0</v>
      </c>
    </row>
  </sheetData>
  <pageMargins left="0.7" right="0.7" top="0.75" bottom="0.75" header="0.3" footer="0.3"/>
  <pageSetup paperSize="9" scale="7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TIME STUDY</vt:lpstr>
      <vt:lpstr>Оснастка</vt:lpstr>
      <vt:lpstr>'TIME STUDY'!Область_печати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Norbit</cp:lastModifiedBy>
  <cp:lastPrinted>2025-10-03T08:25:33Z</cp:lastPrinted>
  <dcterms:created xsi:type="dcterms:W3CDTF">2012-09-12T12:51:05Z</dcterms:created>
  <dcterms:modified xsi:type="dcterms:W3CDTF">2026-03-02T10:50:23Z</dcterms:modified>
</cp:coreProperties>
</file>