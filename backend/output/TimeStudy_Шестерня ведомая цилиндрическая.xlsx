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6"/>
    </font>
    <font>
      <color rgb="00FF0000"/>
    </font>
    <font>
      <b val="1"/>
      <color rgb="00FF000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12" customWidth="1" min="17" max="17"/>
    <col width="12" customWidth="1" min="18" max="18"/>
    <col width="12" customWidth="1" min="19" max="19"/>
    <col width="10" customWidth="1" min="20" max="20"/>
    <col width="12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TIME STUDY</t>
        </is>
      </c>
    </row>
    <row r="3">
      <c r="A3" s="2" t="inlineStr">
        <is>
          <t>Заказчик:</t>
        </is>
      </c>
      <c r="C3" t="inlineStr">
        <is>
          <t>ОАО «МЗШ»</t>
        </is>
      </c>
    </row>
    <row r="4">
      <c r="A4" s="2" t="inlineStr">
        <is>
          <t>Модель оборудования:</t>
        </is>
      </c>
      <c r="C4" t="inlineStr">
        <is>
          <t>WINPOWER WPLF45D</t>
        </is>
      </c>
    </row>
    <row r="5">
      <c r="A5" s="2" t="inlineStr">
        <is>
          <t>Система ЧПУ:</t>
        </is>
      </c>
      <c r="C5" t="inlineStr">
        <is>
          <t>SIEMENS 828D</t>
        </is>
      </c>
    </row>
    <row r="6">
      <c r="A6" s="2" t="inlineStr">
        <is>
          <t>Макс. скорость вращения главн. шпинделя, мин-1</t>
        </is>
      </c>
      <c r="C6" t="inlineStr">
        <is>
          <t>2500</t>
        </is>
      </c>
    </row>
    <row r="7">
      <c r="A7" s="2" t="inlineStr">
        <is>
          <t>Макс. скорость вращения приводн. инстр., мин-1</t>
        </is>
      </c>
      <c r="C7" t="inlineStr">
        <is>
          <t>4500</t>
        </is>
      </c>
    </row>
    <row r="8">
      <c r="A8" s="2" t="inlineStr">
        <is>
          <t>Номер проекта:</t>
        </is>
      </c>
      <c r="C8" t="inlineStr"/>
    </row>
    <row r="9">
      <c r="A9" s="2" t="inlineStr">
        <is>
          <t>Номер детали:</t>
        </is>
      </c>
      <c r="C9" t="inlineStr">
        <is>
          <t>65115-120-60</t>
        </is>
      </c>
    </row>
    <row r="10">
      <c r="A10" s="2" t="inlineStr">
        <is>
          <t>Наименование детали:</t>
        </is>
      </c>
      <c r="C10" t="inlineStr">
        <is>
          <t>Шестерня ведомая цилиндрическая</t>
        </is>
      </c>
    </row>
    <row r="11">
      <c r="A11" s="2" t="inlineStr">
        <is>
          <t>Материал:</t>
        </is>
      </c>
      <c r="C11" t="inlineStr">
        <is>
          <t>Сталь 20ХГНМТА ТУ-14-1-5509-2005</t>
        </is>
      </c>
    </row>
    <row r="12">
      <c r="A12" s="2" t="inlineStr">
        <is>
          <t>Твердость:</t>
        </is>
      </c>
      <c r="C12" t="inlineStr">
        <is>
          <t>156…207 HB</t>
        </is>
      </c>
    </row>
    <row r="13">
      <c r="A13" s="2" t="inlineStr">
        <is>
          <t>Заготовка:</t>
        </is>
      </c>
      <c r="C13" t="inlineStr">
        <is>
          <t>Поковка Ø306.6 x 75 (22.1 кг)</t>
        </is>
      </c>
    </row>
    <row r="14">
      <c r="A14" s="2" t="inlineStr">
        <is>
          <t>Время цикла, мин ± 15%:</t>
        </is>
      </c>
      <c r="C14">
        <f>SUM(YY2:YY2)/60</f>
        <v/>
      </c>
    </row>
    <row r="15">
      <c r="A15" s="2" t="inlineStr">
        <is>
          <t>Коэффициент использования оборудования, Ки:</t>
        </is>
      </c>
      <c r="C15" t="inlineStr">
        <is>
          <t>0.85</t>
        </is>
      </c>
    </row>
    <row r="16">
      <c r="A16" s="2" t="inlineStr">
        <is>
          <t>Производительность, дет./час ± 15%:</t>
        </is>
      </c>
      <c r="C16">
        <f>60/C14*Ki</f>
        <v/>
      </c>
    </row>
    <row r="18">
      <c r="A18" s="3" t="inlineStr">
        <is>
          <t>№ инстр.</t>
        </is>
      </c>
      <c r="B18" s="3" t="inlineStr">
        <is>
          <t>Наименование инструмента</t>
        </is>
      </c>
      <c r="C18" s="3" t="inlineStr">
        <is>
          <t>Обозначение вспомогательного инструмента и режущего инструмента</t>
        </is>
      </c>
      <c r="D18" s="3" t="inlineStr">
        <is>
          <t>Наименование перехода</t>
        </is>
      </c>
      <c r="E18" s="3" t="inlineStr">
        <is>
          <t>D max</t>
        </is>
      </c>
      <c r="F18" s="3" t="inlineStr">
        <is>
          <t>D min</t>
        </is>
      </c>
      <c r="G18" s="3" t="inlineStr">
        <is>
          <t>V max</t>
        </is>
      </c>
      <c r="H18" s="3" t="inlineStr">
        <is>
          <t>V min</t>
        </is>
      </c>
      <c r="I18" s="3" t="inlineStr">
        <is>
          <t>n max</t>
        </is>
      </c>
      <c r="J18" s="3" t="inlineStr">
        <is>
          <t>n min</t>
        </is>
      </c>
      <c r="K18" s="3" t="inlineStr">
        <is>
          <t>Lрез, мм</t>
        </is>
      </c>
      <c r="L18" s="3" t="inlineStr">
        <is>
          <t>Lвсп, мм</t>
        </is>
      </c>
      <c r="M18" s="3" t="inlineStr">
        <is>
          <t>Lр.х, мм</t>
        </is>
      </c>
      <c r="N18" s="3" t="inlineStr">
        <is>
          <t>а, мм</t>
        </is>
      </c>
      <c r="O18" s="3" t="inlineStr">
        <is>
          <t>Кол-во проход</t>
        </is>
      </c>
      <c r="P18" s="3" t="inlineStr">
        <is>
          <t>t, мм</t>
        </is>
      </c>
      <c r="Q18" s="3" t="inlineStr">
        <is>
          <t>L, мм</t>
        </is>
      </c>
      <c r="R18" s="3" t="inlineStr">
        <is>
          <t>Sо, мм/об</t>
        </is>
      </c>
      <c r="S18" s="3" t="inlineStr">
        <is>
          <t>Sм, мм/мин</t>
        </is>
      </c>
      <c r="T18" s="3" t="inlineStr">
        <is>
          <t>Р, кВт</t>
        </is>
      </c>
      <c r="U18" s="3" t="inlineStr">
        <is>
          <t>Время смены инстр., сек</t>
        </is>
      </c>
      <c r="V18" s="3" t="inlineStr">
        <is>
          <t>Время ускорен. перем., сек</t>
        </is>
      </c>
      <c r="W18" s="3" t="inlineStr">
        <is>
          <t>Время резан., сек</t>
        </is>
      </c>
      <c r="X18" s="3" t="inlineStr">
        <is>
          <t>Общее время, сек</t>
        </is>
      </c>
      <c r="Y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>
      <c r="A20" s="3" t="inlineStr">
        <is>
          <t>Операция - 001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>
      <c r="A21" s="4" t="inlineStr">
        <is>
          <t>Т001</t>
        </is>
      </c>
      <c r="B21" s="4" t="inlineStr">
        <is>
          <t>DCLNR 3232P-16</t>
        </is>
      </c>
      <c r="C21" s="4" t="inlineStr">
        <is>
          <t>DCLNR 3232P-16</t>
        </is>
      </c>
      <c r="D21" s="4" t="inlineStr">
        <is>
          <t>Подрезать торец Ø301.45-0.1</t>
        </is>
      </c>
      <c r="E21" s="4" t="n"/>
      <c r="F21" s="4" t="n">
        <v>200</v>
      </c>
      <c r="G21" s="4" t="n">
        <v>200</v>
      </c>
      <c r="H21" s="4" t="n">
        <v>255</v>
      </c>
      <c r="I21" s="4" t="n">
        <v>255</v>
      </c>
      <c r="J21" s="4" t="n"/>
      <c r="K21" s="4" t="n"/>
      <c r="L21" s="4" t="n">
        <v>5</v>
      </c>
      <c r="M21" s="4">
        <f>K19+L19</f>
        <v/>
      </c>
      <c r="N21" s="4" t="n"/>
      <c r="O21" s="4" t="n"/>
      <c r="P21" s="4" t="n">
        <v>0.35</v>
      </c>
      <c r="Q21" s="4" t="n">
        <v>0</v>
      </c>
      <c r="R21" s="4">
        <f>Q19*R19</f>
        <v/>
      </c>
      <c r="S21" s="4" t="n"/>
      <c r="T21" s="4" t="n"/>
      <c r="U21" s="4" t="n"/>
      <c r="V21" s="4" t="n">
        <v>3</v>
      </c>
      <c r="W21" s="4" t="n">
        <v>5</v>
      </c>
      <c r="X21" s="4" t="n">
        <v>28.16806722689076</v>
      </c>
      <c r="Y21" s="4" t="n"/>
    </row>
    <row r="22">
      <c r="A22" s="4" t="inlineStr">
        <is>
          <t>Т002</t>
        </is>
      </c>
      <c r="B22" s="4" t="inlineStr">
        <is>
          <t>A32T PCLNR-12</t>
        </is>
      </c>
      <c r="C22" s="4" t="inlineStr">
        <is>
          <t>A32T PCLNR-12
Ø50-32</t>
        </is>
      </c>
      <c r="D22" s="4" t="inlineStr">
        <is>
          <t>Расточить Ø255±0.1</t>
        </is>
      </c>
      <c r="E22" s="4" t="n"/>
      <c r="F22" s="4" t="n">
        <v>180</v>
      </c>
      <c r="G22" s="4" t="n">
        <v>180</v>
      </c>
      <c r="H22" s="4" t="n">
        <v>225</v>
      </c>
      <c r="I22" s="4" t="n">
        <v>225</v>
      </c>
      <c r="J22" s="4" t="n"/>
      <c r="K22" s="4" t="n"/>
      <c r="L22" s="4" t="n">
        <v>5</v>
      </c>
      <c r="M22" s="4">
        <f>K19+L19</f>
        <v/>
      </c>
      <c r="N22" s="4" t="n"/>
      <c r="O22" s="4" t="n"/>
      <c r="P22" s="4" t="n">
        <v>0.3</v>
      </c>
      <c r="Q22" s="4" t="n">
        <v>0</v>
      </c>
      <c r="R22" s="4">
        <f>Q19*R19</f>
        <v/>
      </c>
      <c r="S22" s="4" t="n"/>
      <c r="T22" s="4" t="n"/>
      <c r="U22" s="4" t="n"/>
      <c r="V22" s="4" t="n">
        <v>3</v>
      </c>
      <c r="W22" s="4" t="n">
        <v>5</v>
      </c>
      <c r="X22" s="4" t="n">
        <v>34.66666666666666</v>
      </c>
      <c r="Y22" s="4" t="n"/>
    </row>
    <row r="23">
      <c r="A23" s="3" t="inlineStr">
        <is>
          <t>Операция - 002</t>
        </is>
      </c>
      <c r="B23" s="4" t="n"/>
      <c r="C23" s="4" t="inlineStr">
        <is>
          <t>CNMM 160612-R3P IC8150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</row>
    <row r="24">
      <c r="A24" s="4" t="inlineStr">
        <is>
          <t>Т001</t>
        </is>
      </c>
      <c r="B24" s="4" t="inlineStr">
        <is>
          <t>MIFHR 12C-10</t>
        </is>
      </c>
      <c r="C24" s="4" t="inlineStr">
        <is>
          <t>MIFHR 12C-10</t>
        </is>
      </c>
      <c r="D24" s="4" t="inlineStr">
        <is>
          <t>Точить канавку</t>
        </is>
      </c>
      <c r="E24" s="4" t="n"/>
      <c r="F24" s="4" t="n">
        <v>100</v>
      </c>
      <c r="G24" s="4" t="n">
        <v>100</v>
      </c>
      <c r="H24" s="4" t="n">
        <v>150</v>
      </c>
      <c r="I24" s="4" t="n">
        <v>150</v>
      </c>
      <c r="J24" s="4" t="n"/>
      <c r="K24" s="4" t="n"/>
      <c r="L24" s="4" t="n">
        <v>5</v>
      </c>
      <c r="M24" s="4">
        <f>K19+L19</f>
        <v/>
      </c>
      <c r="N24" s="4" t="n"/>
      <c r="O24" s="4" t="n"/>
      <c r="P24" s="4" t="n">
        <v>0.06</v>
      </c>
      <c r="Q24" s="4" t="n">
        <v>0</v>
      </c>
      <c r="R24" s="4">
        <f>Q19*R19</f>
        <v/>
      </c>
      <c r="S24" s="4" t="n"/>
      <c r="T24" s="4" t="n"/>
      <c r="U24" s="4" t="n"/>
      <c r="V24" s="4" t="n">
        <v>3</v>
      </c>
      <c r="W24" s="4" t="n">
        <v>5</v>
      </c>
      <c r="X24" s="4" t="n">
        <v>208</v>
      </c>
      <c r="Y24" s="4" t="n"/>
    </row>
    <row r="25">
      <c r="A25" s="3" t="inlineStr">
        <is>
          <t>Операция - 003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>
      <c r="A26" s="4" t="inlineStr">
        <is>
          <t>Т001</t>
        </is>
      </c>
      <c r="B26" s="4" t="inlineStr">
        <is>
          <t>DCN 150-075-20R-5D</t>
        </is>
      </c>
      <c r="C26" s="4" t="inlineStr">
        <is>
          <t>DCN 150-075-20R-5D
ER32 SPR 19-20</t>
        </is>
      </c>
      <c r="D26" s="4" t="inlineStr">
        <is>
          <t>Сверлить 16 отв. Ø15</t>
        </is>
      </c>
      <c r="E26" s="4" t="n"/>
      <c r="F26" s="4" t="n">
        <v>100</v>
      </c>
      <c r="G26" s="4" t="n">
        <v>100</v>
      </c>
      <c r="H26" s="4" t="n">
        <v>120</v>
      </c>
      <c r="I26" s="4" t="n">
        <v>120</v>
      </c>
      <c r="J26" s="4" t="n"/>
      <c r="K26" s="4" t="n"/>
      <c r="L26" s="4" t="n">
        <v>5</v>
      </c>
      <c r="M26" s="4">
        <f>K19+L19</f>
        <v/>
      </c>
      <c r="N26" s="4" t="n"/>
      <c r="O26" s="4" t="n"/>
      <c r="P26" s="4" t="n">
        <v>0.25</v>
      </c>
      <c r="Q26" s="4" t="n">
        <v>0</v>
      </c>
      <c r="R26" s="4">
        <f>Q19*R19</f>
        <v/>
      </c>
      <c r="S26" s="4" t="n"/>
      <c r="T26" s="4" t="n"/>
      <c r="U26" s="4" t="n"/>
      <c r="V26" s="4" t="n">
        <v>3</v>
      </c>
      <c r="W26" s="4" t="n">
        <v>5</v>
      </c>
      <c r="X26" s="4" t="n">
        <v>68</v>
      </c>
      <c r="Y26" s="4" t="n"/>
    </row>
    <row r="27">
      <c r="A27" s="5" t="inlineStr">
        <is>
          <t>Открепление и снятие готовой детали при помощи системы pick-up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>
        <v>15</v>
      </c>
      <c r="Y27" s="4" t="n"/>
    </row>
    <row r="28">
      <c r="A28" s="4" t="n"/>
      <c r="B28" s="4" t="inlineStr">
        <is>
          <t>Пластина 5xD, сменная головка</t>
        </is>
      </c>
      <c r="C28" s="4" t="inlineStr">
        <is>
          <t>ICP 151 IC908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</row>
    <row r="100">
      <c r="A100" s="6" t="inlineStr">
        <is>
          <t>ИТОГО: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>
        <f>SUM(X20:X99)</f>
        <v/>
      </c>
      <c r="Y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</row>
    <row r="102">
      <c r="A102" s="3" t="inlineStr">
        <is>
          <t>Суммарное расчетное время цикла обработки одной детали: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>
        <f>X100</f>
        <v/>
      </c>
      <c r="Y102" s="4" t="inlineStr">
        <is>
          <t>сек ± 15%</t>
        </is>
      </c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>
        <f>X102/60</f>
        <v/>
      </c>
      <c r="Y103" s="4" t="inlineStr">
        <is>
          <t>мин ± 15%</t>
        </is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</row>
    <row r="105">
      <c r="A105" s="3" t="inlineStr">
        <is>
          <t>Суммарное расчетное время резания обработки одной детали: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>
        <f>SUM(W20:W99)</f>
        <v/>
      </c>
      <c r="Y105" s="4" t="inlineStr">
        <is>
          <t>сек ± 15%</t>
        </is>
      </c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</row>
    <row r="107">
      <c r="A107" s="4" t="inlineStr">
        <is>
          <t>Примечания: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</row>
    <row r="108">
      <c r="A108" s="4" t="inlineStr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</row>
    <row r="109">
      <c r="A109" s="4" t="inlineStr">
        <is>
          <t>1) Вспомогательный и режущий инструмент, режимы резания и время обработки являются предварительными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</row>
    <row r="110">
      <c r="A110" s="4" t="inlineStr">
        <is>
          <t>и могут изменяться (оптимизироваться) при отладке технологии изготовления детали на данном станке.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</row>
    <row r="111">
      <c r="A111" t="inlineStr"/>
    </row>
    <row r="112">
      <c r="A112" t="inlineStr">
        <is>
          <t>2) Для точного определения времени цикла необходимо провести тестовую обработку детали («Cutting Test»).</t>
        </is>
      </c>
    </row>
    <row r="113">
      <c r="A113" t="inlineStr"/>
    </row>
    <row r="114">
      <c r="A114" t="inlineStr">
        <is>
          <t>3) Базирование:</t>
        </is>
      </c>
    </row>
    <row r="115">
      <c r="A115" t="inlineStr">
        <is>
          <t>Операция 005 - в трехкулачковом патроне Ø530 мм, расточенными сырыми кулачками по наружной поверхности поковки - Ø306.6 мм с упором в торец.</t>
        </is>
      </c>
    </row>
    <row r="116">
      <c r="A116" t="inlineStr">
        <is>
          <t>Операция 010 - на разжимной оправке по внутренней поверхности детали - Ø201.5 мм с упором в торец.</t>
        </is>
      </c>
    </row>
  </sheetData>
  <mergeCells count="22">
    <mergeCell ref="A15:B15"/>
    <mergeCell ref="A11:B11"/>
    <mergeCell ref="A105:C105"/>
    <mergeCell ref="A6:B6"/>
    <mergeCell ref="A16:B16"/>
    <mergeCell ref="A7:B7"/>
    <mergeCell ref="A25:B25"/>
    <mergeCell ref="A27:B27"/>
    <mergeCell ref="A3:B3"/>
    <mergeCell ref="A12:B12"/>
    <mergeCell ref="A102:C102"/>
    <mergeCell ref="A5:B5"/>
    <mergeCell ref="A14:B14"/>
    <mergeCell ref="A23:B23"/>
    <mergeCell ref="A8:B8"/>
    <mergeCell ref="A4:B4"/>
    <mergeCell ref="A100:B100"/>
    <mergeCell ref="A20:B20"/>
    <mergeCell ref="A1:C1"/>
    <mergeCell ref="A10:B10"/>
    <mergeCell ref="A13:B1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2026-03-02T10:20:10Z</dcterms:created>
  <dcterms:modified xsi:type="dcterms:W3CDTF">2026-03-02T10:20:11Z</dcterms:modified>
</cp:coreProperties>
</file>